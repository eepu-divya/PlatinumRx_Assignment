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089c2d13100890/Documents/"/>
    </mc:Choice>
  </mc:AlternateContent>
  <xr:revisionPtr revIDLastSave="0" documentId="8_{B3773117-0646-4D02-8112-A0E883C36B01}" xr6:coauthVersionLast="47" xr6:coauthVersionMax="47" xr10:uidLastSave="{00000000-0000-0000-0000-000000000000}"/>
  <bookViews>
    <workbookView xWindow="-108" yWindow="-108" windowWidth="23256" windowHeight="12456" xr2:uid="{224AEC43-0980-4778-B6AE-5F7A4E4CD24B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K2" i="1"/>
  <c r="J9" i="1"/>
  <c r="J8" i="1"/>
  <c r="J7" i="1"/>
  <c r="J6" i="1"/>
  <c r="J5" i="1"/>
  <c r="J4" i="1"/>
  <c r="J3" i="1"/>
  <c r="J2" i="1"/>
  <c r="G9" i="1"/>
  <c r="G8" i="1"/>
  <c r="G7" i="1"/>
  <c r="G6" i="1"/>
  <c r="G5" i="1"/>
  <c r="G4" i="1"/>
  <c r="G3" i="1"/>
  <c r="G2" i="1"/>
  <c r="F9" i="1"/>
  <c r="F8" i="1"/>
  <c r="F7" i="1"/>
  <c r="F6" i="1"/>
  <c r="F5" i="1"/>
  <c r="F4" i="1"/>
  <c r="F3" i="1"/>
  <c r="F2" i="1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<sst xmlns="http://schemas.openxmlformats.org/spreadsheetml/2006/main" count="54" uniqueCount="32">
  <si>
    <t>ticket_id</t>
  </si>
  <si>
    <t>created_at</t>
  </si>
  <si>
    <t xml:space="preserve">closed_at </t>
  </si>
  <si>
    <t>cms_id</t>
  </si>
  <si>
    <t>outlet_id</t>
  </si>
  <si>
    <t>isu-sjd-457</t>
  </si>
  <si>
    <t>wrqy-juv-978</t>
  </si>
  <si>
    <t>vew-iuvd-12</t>
  </si>
  <si>
    <t>qer-fal-092</t>
  </si>
  <si>
    <t>tkt-100-001</t>
  </si>
  <si>
    <t>tkt-100-002</t>
  </si>
  <si>
    <t>tkt-100-003</t>
  </si>
  <si>
    <t>tkt-100-004</t>
  </si>
  <si>
    <t>tkt-100-005</t>
  </si>
  <si>
    <t>tkt-100-006</t>
  </si>
  <si>
    <t>8woh-k3u-23b</t>
  </si>
  <si>
    <t>cms-abc-001</t>
  </si>
  <si>
    <t>cms-abc-002</t>
  </si>
  <si>
    <t>cms-abc-003</t>
  </si>
  <si>
    <t>cms-abc-004</t>
  </si>
  <si>
    <t>cms-abc-005</t>
  </si>
  <si>
    <t>cms-abc-006</t>
  </si>
  <si>
    <t>cms-abc-007</t>
  </si>
  <si>
    <t>feedback_at</t>
  </si>
  <si>
    <t>feedback_rating</t>
  </si>
  <si>
    <t>ticket_created_at</t>
  </si>
  <si>
    <t>Same_day</t>
  </si>
  <si>
    <t>Same_hour</t>
  </si>
  <si>
    <t>same_day_count</t>
  </si>
  <si>
    <t xml:space="preserve">      wrqy-juv-978</t>
  </si>
  <si>
    <t xml:space="preserve">       outlet_id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</si>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</sst>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4D4D4C"/>
      <name val="Calibri"/>
      <family val="2"/>
    </font>
    <font>
      <sz val="12"/>
      <color rgb="FF4D4D4C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4D4D4C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/>
    </xf>
    <xf numFmtId="2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84C9-D22A-4F59-9F23-6FAA48D381F7}">
  <dimension ref="A1:K9"/>
  <sheetViews>
    <sheetView tabSelected="1" topLeftCell="E1" workbookViewId="0">
      <selection activeCell="B2" sqref="B2"/>
    </sheetView>
  </sheetViews>
  <sheetFormatPr defaultRowHeight="15.6" x14ac:dyDescent="0.3"/>
  <cols>
    <col min="1" max="1" width="15.44140625" style="4" customWidth="1"/>
    <col min="2" max="2" width="23.5546875" style="4" customWidth="1"/>
    <col min="3" max="3" width="22.88671875" style="4" customWidth="1"/>
    <col min="4" max="4" width="14.44140625" style="4" customWidth="1"/>
    <col min="5" max="5" width="15.109375" style="4" customWidth="1"/>
    <col min="6" max="6" width="10.44140625" customWidth="1"/>
    <col min="7" max="7" width="11.21875" customWidth="1"/>
    <col min="9" max="9" width="19.6640625" customWidth="1"/>
    <col min="10" max="10" width="17.6640625" customWidth="1"/>
    <col min="11" max="11" width="18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5" t="s">
        <v>4</v>
      </c>
      <c r="E1" s="2" t="s">
        <v>3</v>
      </c>
      <c r="F1" s="2" t="s">
        <v>26</v>
      </c>
      <c r="G1" s="2" t="s">
        <v>27</v>
      </c>
      <c r="I1" s="1" t="s">
        <v>30</v>
      </c>
      <c r="J1" s="11" t="s">
        <v>28</v>
      </c>
      <c r="K1" s="11" t="s">
        <v>31</v>
      </c>
    </row>
    <row r="2" spans="1:11" x14ac:dyDescent="0.3">
      <c r="A2" s="3" t="s">
        <v>5</v>
      </c>
      <c r="B2" s="7">
        <v>44427.698414351849</v>
      </c>
      <c r="C2" s="6">
        <v>44430.523287037038</v>
      </c>
      <c r="D2" s="3" t="s">
        <v>6</v>
      </c>
      <c r="E2" s="3" t="s">
        <v>7</v>
      </c>
      <c r="F2" t="b">
        <f>INT(B2)=INT(C2)</f>
        <v>0</v>
      </c>
      <c r="G2" t="b">
        <f>AND(INT(B2)=INT(C2), HOUR(B2)=HOUR(C2))</f>
        <v>0</v>
      </c>
      <c r="I2" s="12" t="s">
        <v>29</v>
      </c>
      <c r="J2">
        <f>COUNTIFS($D:$D, I2, $F:$F, TRUE)</f>
        <v>0</v>
      </c>
      <c r="K2">
        <f>COUNTIFS($D:$D, I2, $G:$G, TRUE)</f>
        <v>0</v>
      </c>
    </row>
    <row r="3" spans="1:11" x14ac:dyDescent="0.3">
      <c r="A3" s="3" t="s">
        <v>8</v>
      </c>
      <c r="B3" s="8">
        <v>44429.464837962965</v>
      </c>
      <c r="C3" s="6">
        <v>44429.717881944445</v>
      </c>
      <c r="D3" s="3" t="s">
        <v>15</v>
      </c>
      <c r="E3" s="3" t="s">
        <v>16</v>
      </c>
      <c r="F3" t="b">
        <f>INT(B3)=INT(C3)</f>
        <v>1</v>
      </c>
      <c r="G3" t="b">
        <f>AND(INT(B3)=INT(C3), HOUR(B3)=HOUR(C3))</f>
        <v>0</v>
      </c>
      <c r="I3" s="3" t="s">
        <v>15</v>
      </c>
      <c r="J3">
        <f>COUNTIFS($D:$D, I3, $F:$F, TRUE)</f>
        <v>3</v>
      </c>
      <c r="K3">
        <f>COUNTIFS($D:$D, I3, $G:$G, TRUE)</f>
        <v>1</v>
      </c>
    </row>
    <row r="4" spans="1:11" x14ac:dyDescent="0.3">
      <c r="A4" s="3" t="s">
        <v>9</v>
      </c>
      <c r="B4" s="8">
        <v>44429.38553240741</v>
      </c>
      <c r="C4" s="6">
        <v>44429.406365740739</v>
      </c>
      <c r="D4" s="3" t="s">
        <v>6</v>
      </c>
      <c r="E4" s="3" t="s">
        <v>17</v>
      </c>
      <c r="F4" t="b">
        <f>INT(B4)=INT(C4)</f>
        <v>1</v>
      </c>
      <c r="G4" t="b">
        <f>AND(INT(B4)=INT(C4), HOUR(B4)=HOUR(C4))</f>
        <v>1</v>
      </c>
      <c r="I4" s="3" t="s">
        <v>6</v>
      </c>
      <c r="J4">
        <f>COUNTIFS($D:$D, I4, $F:$F, TRUE)</f>
        <v>3</v>
      </c>
      <c r="K4">
        <f>COUNTIFS($D:$D, I4, $G:$G, TRUE)</f>
        <v>3</v>
      </c>
    </row>
    <row r="5" spans="1:11" x14ac:dyDescent="0.3">
      <c r="A5" s="3" t="s">
        <v>10</v>
      </c>
      <c r="B5" s="8">
        <v>44430.430555555555</v>
      </c>
      <c r="C5" s="6">
        <v>44430.454861111109</v>
      </c>
      <c r="D5" s="3" t="s">
        <v>6</v>
      </c>
      <c r="E5" s="3" t="s">
        <v>18</v>
      </c>
      <c r="F5" t="b">
        <f>INT(B5)=INT(C5)</f>
        <v>1</v>
      </c>
      <c r="G5" t="b">
        <f>AND(INT(B5)=INT(C5), HOUR(B5)=HOUR(C5))</f>
        <v>1</v>
      </c>
      <c r="I5" s="3" t="s">
        <v>6</v>
      </c>
      <c r="J5">
        <f>COUNTIFS($D:$D, I5, $F:$F, TRUE)</f>
        <v>3</v>
      </c>
      <c r="K5">
        <f>COUNTIFS($D:$D, I5, $G:$G, TRUE)</f>
        <v>3</v>
      </c>
    </row>
    <row r="6" spans="1:11" x14ac:dyDescent="0.3">
      <c r="A6" s="3" t="s">
        <v>11</v>
      </c>
      <c r="B6" s="8">
        <v>44430.586805555555</v>
      </c>
      <c r="C6" s="6">
        <v>44431.458333333336</v>
      </c>
      <c r="D6" s="3" t="s">
        <v>15</v>
      </c>
      <c r="E6" s="3" t="s">
        <v>19</v>
      </c>
      <c r="F6" t="b">
        <f>INT(B6)=INT(C6)</f>
        <v>0</v>
      </c>
      <c r="G6" t="b">
        <f>AND(INT(B6)=INT(C6), HOUR(B6)=HOUR(C6))</f>
        <v>0</v>
      </c>
      <c r="I6" s="3" t="s">
        <v>15</v>
      </c>
      <c r="J6">
        <f>COUNTIFS($D:$D, I6, $F:$F, TRUE)</f>
        <v>3</v>
      </c>
      <c r="K6">
        <f>COUNTIFS($D:$D, I6, $G:$G, TRUE)</f>
        <v>1</v>
      </c>
    </row>
    <row r="7" spans="1:11" x14ac:dyDescent="0.3">
      <c r="A7" s="3" t="s">
        <v>12</v>
      </c>
      <c r="B7" s="8">
        <v>44431.5625</v>
      </c>
      <c r="C7" s="6">
        <v>44431.576388888891</v>
      </c>
      <c r="D7" s="3" t="s">
        <v>15</v>
      </c>
      <c r="E7" s="3" t="s">
        <v>20</v>
      </c>
      <c r="F7" t="b">
        <f>INT(B7)=INT(C7)</f>
        <v>1</v>
      </c>
      <c r="G7" t="b">
        <f>AND(INT(B7)=INT(C7), HOUR(B7)=HOUR(C7))</f>
        <v>1</v>
      </c>
      <c r="I7" s="3" t="s">
        <v>15</v>
      </c>
      <c r="J7">
        <f>COUNTIFS($D:$D, I7, $F:$F, TRUE)</f>
        <v>3</v>
      </c>
      <c r="K7">
        <f>COUNTIFS($D:$D, I7, $G:$G, TRUE)</f>
        <v>1</v>
      </c>
    </row>
    <row r="8" spans="1:11" x14ac:dyDescent="0.3">
      <c r="A8" s="3" t="s">
        <v>13</v>
      </c>
      <c r="B8" s="8">
        <v>44432.340277777781</v>
      </c>
      <c r="C8" s="6">
        <v>44432.371527777781</v>
      </c>
      <c r="D8" s="3" t="s">
        <v>6</v>
      </c>
      <c r="E8" s="3" t="s">
        <v>21</v>
      </c>
      <c r="F8" t="b">
        <f>INT(B8)=INT(C8)</f>
        <v>1</v>
      </c>
      <c r="G8" t="b">
        <f>AND(INT(B8)=INT(C8), HOUR(B8)=HOUR(C8))</f>
        <v>1</v>
      </c>
      <c r="I8" s="3" t="s">
        <v>6</v>
      </c>
      <c r="J8">
        <f>COUNTIFS($D:$D, I8, $F:$F, TRUE)</f>
        <v>3</v>
      </c>
      <c r="K8">
        <f>COUNTIFS($D:$D, I8, $G:$G, TRUE)</f>
        <v>3</v>
      </c>
    </row>
    <row r="9" spans="1:11" x14ac:dyDescent="0.3">
      <c r="A9" s="3" t="s">
        <v>14</v>
      </c>
      <c r="B9" s="9">
        <v>44432.638888888891</v>
      </c>
      <c r="C9" s="6">
        <v>44432.670138888891</v>
      </c>
      <c r="D9" s="3" t="s">
        <v>15</v>
      </c>
      <c r="E9" s="3" t="s">
        <v>22</v>
      </c>
      <c r="F9" t="b">
        <f>INT(B9)=INT(C9)</f>
        <v>1</v>
      </c>
      <c r="G9" t="b">
        <f>AND(INT(B9)=INT(C9), HOUR(B9)=HOUR(C9))</f>
        <v>0</v>
      </c>
      <c r="I9" s="3" t="s">
        <v>15</v>
      </c>
      <c r="J9">
        <f>COUNTIFS($D:$D, I9, $F:$F, TRUE)</f>
        <v>3</v>
      </c>
      <c r="K9">
        <f>COUNTIFS($D:$D, I9, $G:$G, TRUE)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0FD3-02A4-43B2-AE26-8695B41EB20D}">
  <dimension ref="A1:F9"/>
  <sheetViews>
    <sheetView workbookViewId="0">
      <selection activeCell="F1" sqref="F1"/>
    </sheetView>
  </sheetViews>
  <sheetFormatPr defaultRowHeight="15.6" x14ac:dyDescent="0.3"/>
  <cols>
    <col min="1" max="1" width="16.33203125" style="4" customWidth="1"/>
    <col min="2" max="2" width="17.6640625" style="4" customWidth="1"/>
    <col min="3" max="3" width="17.21875" style="4" customWidth="1"/>
    <col min="4" max="4" width="19.5546875" style="10" customWidth="1"/>
    <col min="5" max="5" width="10.88671875" customWidth="1"/>
    <col min="6" max="6" width="13.21875" customWidth="1"/>
  </cols>
  <sheetData>
    <row r="1" spans="1:6" x14ac:dyDescent="0.3">
      <c r="A1" s="2" t="s">
        <v>3</v>
      </c>
      <c r="B1" s="2" t="s">
        <v>23</v>
      </c>
      <c r="C1" s="2" t="s">
        <v>24</v>
      </c>
      <c r="D1" s="2" t="s">
        <v>25</v>
      </c>
      <c r="E1" s="2"/>
      <c r="F1" s="2"/>
    </row>
    <row r="2" spans="1:6" x14ac:dyDescent="0.3">
      <c r="A2" s="3" t="s">
        <v>7</v>
      </c>
      <c r="B2" s="6">
        <v>44429.560277777775</v>
      </c>
      <c r="C2" s="4">
        <v>3</v>
      </c>
      <c r="D2" s="10">
        <f>INDEX(ticket!$B$2:$B$9, MATCH(A2, ticket!$E$2:$E$9, 0))</f>
        <v>44427.698414351849</v>
      </c>
    </row>
    <row r="3" spans="1:6" x14ac:dyDescent="0.3">
      <c r="A3" s="3" t="s">
        <v>16</v>
      </c>
      <c r="B3" s="6">
        <v>44429.75</v>
      </c>
      <c r="C3" s="4">
        <v>4</v>
      </c>
      <c r="D3" s="10">
        <f>INDEX(ticket!$B$2:$B$9, MATCH(A3, ticket!$E$2:$E$9, 0))</f>
        <v>44429.464837962965</v>
      </c>
    </row>
    <row r="4" spans="1:6" x14ac:dyDescent="0.3">
      <c r="A4" s="3" t="s">
        <v>17</v>
      </c>
      <c r="B4" s="6">
        <v>44429.416666666664</v>
      </c>
      <c r="C4" s="4">
        <v>5</v>
      </c>
      <c r="D4" s="10">
        <f>INDEX(ticket!$B$2:$B$9, MATCH(A4, ticket!$E$2:$E$9, 0))</f>
        <v>44429.38553240741</v>
      </c>
    </row>
    <row r="5" spans="1:6" x14ac:dyDescent="0.3">
      <c r="A5" s="3" t="s">
        <v>18</v>
      </c>
      <c r="B5" s="6">
        <v>44430.461805555555</v>
      </c>
      <c r="C5" s="4">
        <v>2</v>
      </c>
      <c r="D5" s="10">
        <f>INDEX(ticket!$B$2:$B$9, MATCH(A5, ticket!$E$2:$E$9, 0))</f>
        <v>44430.430555555555</v>
      </c>
    </row>
    <row r="6" spans="1:6" x14ac:dyDescent="0.3">
      <c r="A6" s="3" t="s">
        <v>19</v>
      </c>
      <c r="B6" s="6">
        <v>44431.635416666664</v>
      </c>
      <c r="C6" s="4">
        <v>5</v>
      </c>
      <c r="D6" s="10">
        <f>INDEX(ticket!$B$2:$B$9, MATCH(A6, ticket!$E$2:$E$9, 0))</f>
        <v>44430.586805555555</v>
      </c>
    </row>
    <row r="7" spans="1:6" x14ac:dyDescent="0.3">
      <c r="A7" s="3" t="s">
        <v>20</v>
      </c>
      <c r="B7" s="6">
        <v>44431.763888888891</v>
      </c>
      <c r="C7" s="4">
        <v>4</v>
      </c>
      <c r="D7" s="10">
        <f>INDEX(ticket!$B$2:$B$9, MATCH(A7, ticket!$E$2:$E$9, 0))</f>
        <v>44431.5625</v>
      </c>
    </row>
    <row r="8" spans="1:6" x14ac:dyDescent="0.3">
      <c r="A8" s="3" t="s">
        <v>21</v>
      </c>
      <c r="B8" s="6">
        <v>44432.375</v>
      </c>
      <c r="C8" s="4">
        <v>3</v>
      </c>
      <c r="D8" s="10">
        <f>INDEX(ticket!$B$2:$B$9, MATCH(A8, ticket!$E$2:$E$9, 0))</f>
        <v>44432.340277777781</v>
      </c>
    </row>
    <row r="9" spans="1:6" x14ac:dyDescent="0.3">
      <c r="A9" s="3" t="s">
        <v>22</v>
      </c>
      <c r="B9" s="6">
        <v>44432.729166666664</v>
      </c>
      <c r="C9" s="4">
        <v>5</v>
      </c>
      <c r="D9" s="10">
        <f>INDEX(ticket!$B$2:$B$9, MATCH(A9, ticket!$E$2:$E$9, 0))</f>
        <v>44432.638888888891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thatharaoeapu@gmail.com</dc:creator>
  <cp:lastModifiedBy>thatharaoeapu@gmail.com</cp:lastModifiedBy>
  <dcterms:created xsi:type="dcterms:W3CDTF">2026-04-09T05:57:04Z</dcterms:created>
  <dcterms:modified xsi:type="dcterms:W3CDTF">2026-04-09T06:56:49Z</dcterms:modified>
</cp:coreProperties>
</file>